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<sst xmlns="http://schemas.openxmlformats.org/spreadsheetml/2006/main" count="23" uniqueCount="14">
  <si>
    <t>Septiembre 2026</t>
  </si>
  <si>
    <t>Ingeniero FullStack / AI</t>
  </si>
  <si>
    <t>Remuneración (usd)</t>
  </si>
  <si>
    <t>PM / Analista</t>
  </si>
  <si>
    <t>QA</t>
  </si>
  <si>
    <t>FFA - Ficha Financiera Automatizada</t>
  </si>
  <si>
    <t>Costo Infraestructura Sooft</t>
  </si>
  <si>
    <t>USD</t>
  </si>
  <si>
    <t>CLP</t>
  </si>
  <si>
    <t>TARIFA</t>
  </si>
  <si>
    <t>Porcentaje asignación</t>
  </si>
  <si>
    <t>Dolar</t>
  </si>
  <si>
    <t>UF</t>
  </si>
  <si>
    <t>RENTA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</si>
</sst>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Font="1"/>
    <xf borderId="0" fillId="0" fontId="4" numFmtId="0" xfId="0" applyAlignment="1" applyFont="1">
      <alignment horizontal="center" vertical="bottom"/>
    </xf>
    <xf borderId="0" fillId="0" fontId="1" numFmtId="0" xfId="0" applyFont="1"/>
    <xf borderId="0" fillId="0" fontId="4" numFmtId="0" xfId="0" applyAlignment="1" applyFont="1">
      <alignment horizontal="center" shrinkToFit="0" vertical="center" wrapText="1"/>
    </xf>
    <xf borderId="1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33.86"/>
    <col customWidth="1" min="3" max="43" width="3.29"/>
    <col customWidth="1" min="44" max="44" width="25.0"/>
    <col customWidth="1" min="45" max="45" width="18.71"/>
    <col customWidth="1" min="46" max="46" width="11.57"/>
    <col customWidth="1" min="47" max="47" width="8.57"/>
    <col customWidth="1" min="48" max="48" width="19.0"/>
    <col customWidth="1" min="49" max="49" width="10.0"/>
    <col customWidth="1" min="50" max="50" width="12.43"/>
    <col customWidth="1" min="51" max="51" width="16.0"/>
    <col customWidth="1" min="52" max="52" width="7.43"/>
  </cols>
  <sheetData>
    <row r="2">
      <c r="C2" s="1" t="s">
        <v>0</v>
      </c>
      <c r="AR2" s="2" t="s">
        <v>1</v>
      </c>
      <c r="AS2" s="2" t="s">
        <v>2</v>
      </c>
      <c r="AT2" s="2">
        <v>35.0</v>
      </c>
      <c r="AU2" s="2">
        <f t="shared" ref="AU2:AU4" si="1">SUM(C5:AP5)</f>
        <v>264</v>
      </c>
      <c r="AV2" s="2">
        <f t="shared" ref="AV2:AV4" si="2">AT2*AU2</f>
        <v>9240</v>
      </c>
    </row>
    <row r="3">
      <c r="C3" s="3">
        <v>1.0</v>
      </c>
      <c r="H3" s="3">
        <v>2.0</v>
      </c>
      <c r="M3" s="3">
        <v>3.0</v>
      </c>
      <c r="R3" s="3">
        <v>4.0</v>
      </c>
      <c r="W3" s="3">
        <v>5.0</v>
      </c>
      <c r="AB3" s="3">
        <v>6.0</v>
      </c>
      <c r="AG3" s="3">
        <v>7.0</v>
      </c>
      <c r="AL3" s="3">
        <v>8.0</v>
      </c>
      <c r="AR3" s="4" t="s">
        <v>3</v>
      </c>
      <c r="AT3" s="5">
        <v>20.0</v>
      </c>
      <c r="AU3" s="5">
        <f t="shared" si="1"/>
        <v>96</v>
      </c>
      <c r="AV3" s="6">
        <f t="shared" si="2"/>
        <v>1920</v>
      </c>
    </row>
    <row r="4">
      <c r="C4" s="5">
        <v>1.0</v>
      </c>
      <c r="D4" s="5">
        <v>2.0</v>
      </c>
      <c r="E4" s="5">
        <v>3.0</v>
      </c>
      <c r="F4" s="5">
        <v>4.0</v>
      </c>
      <c r="G4" s="5">
        <v>5.0</v>
      </c>
      <c r="H4" s="5">
        <v>6.0</v>
      </c>
      <c r="I4" s="5">
        <v>7.0</v>
      </c>
      <c r="J4" s="5">
        <v>8.0</v>
      </c>
      <c r="K4" s="5">
        <v>9.0</v>
      </c>
      <c r="L4" s="5">
        <v>10.0</v>
      </c>
      <c r="M4" s="5">
        <v>11.0</v>
      </c>
      <c r="N4" s="5">
        <v>12.0</v>
      </c>
      <c r="O4" s="5">
        <v>13.0</v>
      </c>
      <c r="P4" s="5">
        <v>14.0</v>
      </c>
      <c r="Q4" s="5">
        <v>15.0</v>
      </c>
      <c r="R4" s="5">
        <v>16.0</v>
      </c>
      <c r="S4" s="5">
        <v>17.0</v>
      </c>
      <c r="T4" s="5">
        <v>18.0</v>
      </c>
      <c r="U4" s="5">
        <v>19.0</v>
      </c>
      <c r="V4" s="5">
        <v>20.0</v>
      </c>
      <c r="W4" s="5">
        <v>21.0</v>
      </c>
      <c r="X4" s="5">
        <v>22.0</v>
      </c>
      <c r="Y4" s="5">
        <v>23.0</v>
      </c>
      <c r="Z4" s="5">
        <v>24.0</v>
      </c>
      <c r="AA4" s="5">
        <v>25.0</v>
      </c>
      <c r="AB4" s="5">
        <v>26.0</v>
      </c>
      <c r="AC4" s="5">
        <v>27.0</v>
      </c>
      <c r="AD4" s="5">
        <v>28.0</v>
      </c>
      <c r="AE4" s="5">
        <v>29.0</v>
      </c>
      <c r="AF4" s="5">
        <v>30.0</v>
      </c>
      <c r="AG4" s="5">
        <v>31.0</v>
      </c>
      <c r="AH4" s="5">
        <v>32.0</v>
      </c>
      <c r="AI4" s="5">
        <v>33.0</v>
      </c>
      <c r="AJ4" s="5">
        <v>34.0</v>
      </c>
      <c r="AK4" s="5">
        <v>35.0</v>
      </c>
      <c r="AL4" s="5">
        <v>36.0</v>
      </c>
      <c r="AM4" s="5">
        <v>37.0</v>
      </c>
      <c r="AN4" s="5">
        <v>38.0</v>
      </c>
      <c r="AO4" s="5">
        <v>39.0</v>
      </c>
      <c r="AP4" s="5">
        <v>40.0</v>
      </c>
      <c r="AR4" s="4" t="s">
        <v>4</v>
      </c>
      <c r="AT4" s="5">
        <v>25.0</v>
      </c>
      <c r="AU4" s="5">
        <f t="shared" si="1"/>
        <v>112</v>
      </c>
      <c r="AV4" s="6">
        <f t="shared" si="2"/>
        <v>2800</v>
      </c>
    </row>
    <row r="5">
      <c r="A5" s="7" t="s">
        <v>5</v>
      </c>
      <c r="B5" s="4" t="s">
        <v>1</v>
      </c>
      <c r="C5" s="5">
        <v>4.0</v>
      </c>
      <c r="D5" s="5">
        <v>4.0</v>
      </c>
      <c r="E5" s="5">
        <v>8.0</v>
      </c>
      <c r="F5" s="5">
        <v>8.0</v>
      </c>
      <c r="G5" s="5">
        <v>8.0</v>
      </c>
      <c r="H5" s="5">
        <v>8.0</v>
      </c>
      <c r="I5" s="5">
        <v>8.0</v>
      </c>
      <c r="J5" s="5">
        <v>8.0</v>
      </c>
      <c r="K5" s="5">
        <v>8.0</v>
      </c>
      <c r="L5" s="5">
        <v>8.0</v>
      </c>
      <c r="M5" s="5">
        <v>8.0</v>
      </c>
      <c r="N5" s="5">
        <v>8.0</v>
      </c>
      <c r="O5" s="5">
        <v>8.0</v>
      </c>
      <c r="P5" s="5">
        <v>8.0</v>
      </c>
      <c r="Q5" s="5">
        <v>8.0</v>
      </c>
      <c r="R5" s="5">
        <v>8.0</v>
      </c>
      <c r="S5" s="5">
        <v>8.0</v>
      </c>
      <c r="T5" s="5">
        <v>8.0</v>
      </c>
      <c r="U5" s="5">
        <v>8.0</v>
      </c>
      <c r="V5" s="5">
        <v>8.0</v>
      </c>
      <c r="W5" s="5">
        <v>8.0</v>
      </c>
      <c r="X5" s="5">
        <v>8.0</v>
      </c>
      <c r="Y5" s="5">
        <v>8.0</v>
      </c>
      <c r="Z5" s="5">
        <v>8.0</v>
      </c>
      <c r="AA5" s="5">
        <v>8.0</v>
      </c>
      <c r="AB5" s="5">
        <v>8.0</v>
      </c>
      <c r="AC5" s="5">
        <v>8.0</v>
      </c>
      <c r="AD5" s="5">
        <v>8.0</v>
      </c>
      <c r="AE5" s="5">
        <v>8.0</v>
      </c>
      <c r="AF5" s="5">
        <v>8.0</v>
      </c>
      <c r="AG5" s="5">
        <v>4.0</v>
      </c>
      <c r="AH5" s="5">
        <v>4.0</v>
      </c>
      <c r="AI5" s="5">
        <v>4.0</v>
      </c>
      <c r="AJ5" s="5">
        <v>4.0</v>
      </c>
      <c r="AK5" s="5">
        <v>4.0</v>
      </c>
      <c r="AL5" s="5">
        <v>4.0</v>
      </c>
      <c r="AM5" s="5">
        <v>4.0</v>
      </c>
      <c r="AN5" s="5">
        <v>4.0</v>
      </c>
    </row>
    <row r="6">
      <c r="B6" s="4" t="s">
        <v>3</v>
      </c>
      <c r="C6" s="5">
        <v>8.0</v>
      </c>
      <c r="D6" s="5">
        <v>8.0</v>
      </c>
      <c r="E6" s="5">
        <v>8.0</v>
      </c>
      <c r="F6" s="5">
        <v>4.0</v>
      </c>
      <c r="G6" s="5">
        <v>4.0</v>
      </c>
      <c r="L6" s="5">
        <v>4.0</v>
      </c>
      <c r="Q6" s="5">
        <v>4.0</v>
      </c>
      <c r="V6" s="5">
        <v>4.0</v>
      </c>
      <c r="AA6" s="5">
        <v>4.0</v>
      </c>
      <c r="AG6" s="5">
        <v>4.0</v>
      </c>
      <c r="AH6" s="5">
        <v>4.0</v>
      </c>
      <c r="AI6" s="5">
        <v>4.0</v>
      </c>
      <c r="AJ6" s="5">
        <v>4.0</v>
      </c>
      <c r="AK6" s="5">
        <v>4.0</v>
      </c>
      <c r="AL6" s="5">
        <v>4.0</v>
      </c>
      <c r="AM6" s="5">
        <v>4.0</v>
      </c>
      <c r="AN6" s="5">
        <v>4.0</v>
      </c>
      <c r="AO6" s="5">
        <v>8.0</v>
      </c>
      <c r="AP6" s="5">
        <v>8.0</v>
      </c>
    </row>
    <row r="7">
      <c r="B7" s="4" t="s">
        <v>4</v>
      </c>
      <c r="W7" s="5">
        <v>4.0</v>
      </c>
      <c r="X7" s="5">
        <v>4.0</v>
      </c>
      <c r="Y7" s="5">
        <v>4.0</v>
      </c>
      <c r="Z7" s="5">
        <v>4.0</v>
      </c>
      <c r="AA7" s="5">
        <v>4.0</v>
      </c>
      <c r="AB7" s="5">
        <v>8.0</v>
      </c>
      <c r="AC7" s="5">
        <v>8.0</v>
      </c>
      <c r="AD7" s="5">
        <v>8.0</v>
      </c>
      <c r="AE7" s="5">
        <v>8.0</v>
      </c>
      <c r="AF7" s="5">
        <v>8.0</v>
      </c>
      <c r="AG7" s="5">
        <v>8.0</v>
      </c>
      <c r="AH7" s="5">
        <v>8.0</v>
      </c>
      <c r="AI7" s="5">
        <v>8.0</v>
      </c>
      <c r="AJ7" s="5">
        <v>8.0</v>
      </c>
      <c r="AK7" s="5">
        <v>8.0</v>
      </c>
      <c r="AL7" s="5">
        <v>4.0</v>
      </c>
      <c r="AM7" s="5">
        <v>4.0</v>
      </c>
      <c r="AN7" s="5">
        <v>4.0</v>
      </c>
    </row>
    <row r="8">
      <c r="AR8" s="4" t="s">
        <v>6</v>
      </c>
      <c r="AV8" s="4">
        <v>150.0</v>
      </c>
    </row>
    <row r="9">
      <c r="AU9" s="4">
        <f t="shared" ref="AU9:AV9" si="3">SUM(AU2:AU8)</f>
        <v>472</v>
      </c>
      <c r="AV9" s="6">
        <f t="shared" si="3"/>
        <v>14110</v>
      </c>
      <c r="AW9" s="4" t="s">
        <v>7</v>
      </c>
    </row>
    <row r="10">
      <c r="AV10" s="4">
        <f>AV9*AX12</f>
        <v>13079123.4</v>
      </c>
      <c r="AW10" s="4" t="s">
        <v>8</v>
      </c>
    </row>
    <row r="11">
      <c r="AY11" s="8" t="s">
        <v>9</v>
      </c>
    </row>
    <row r="12">
      <c r="AR12" s="4" t="s">
        <v>10</v>
      </c>
      <c r="AW12" s="4" t="s">
        <v>11</v>
      </c>
      <c r="AX12" s="4">
        <v>926.94</v>
      </c>
      <c r="AY12" s="4">
        <f>AV10/(1-AX14)</f>
        <v>17438831.2</v>
      </c>
      <c r="AZ12" s="4" t="s">
        <v>8</v>
      </c>
    </row>
    <row r="13">
      <c r="AR13" s="4" t="s">
        <v>1</v>
      </c>
      <c r="AS13" s="4">
        <f t="shared" ref="AS13:AS15" si="4">AU2/$AU$9</f>
        <v>0.5593220339</v>
      </c>
      <c r="AW13" s="4" t="s">
        <v>12</v>
      </c>
      <c r="AX13" s="4">
        <v>40885.63</v>
      </c>
      <c r="AY13" s="4">
        <f>AV9/(1-AX14)</f>
        <v>18813.33333</v>
      </c>
      <c r="AZ13" s="4" t="s">
        <v>7</v>
      </c>
    </row>
    <row r="14">
      <c r="AR14" s="4" t="s">
        <v>3</v>
      </c>
      <c r="AS14" s="4">
        <f t="shared" si="4"/>
        <v>0.2033898305</v>
      </c>
      <c r="AW14" s="4" t="s">
        <v>13</v>
      </c>
      <c r="AX14" s="4">
        <v>0.25</v>
      </c>
      <c r="AY14" s="4">
        <f>AY12/AX13</f>
        <v>426.527149</v>
      </c>
      <c r="AZ14" s="4" t="s">
        <v>12</v>
      </c>
    </row>
    <row r="15">
      <c r="AR15" s="4" t="s">
        <v>4</v>
      </c>
      <c r="AS15" s="4">
        <f t="shared" si="4"/>
        <v>0.2372881356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G3:AK3"/>
    <mergeCell ref="AL3:AP3"/>
    <mergeCell ref="C2:AP2"/>
    <mergeCell ref="C3:G3"/>
    <mergeCell ref="H3:L3"/>
    <mergeCell ref="M3:Q3"/>
    <mergeCell ref="R3:V3"/>
    <mergeCell ref="W3:AA3"/>
    <mergeCell ref="AB3:AF3"/>
    <mergeCell ref="A5:A7"/>
  </mergeCells>
  <printOptions/>
  <pageMargins bottom="1.0" footer="0.0" header="0.0" left="0.75" right="0.75" top="1.0"/>
  <pageSetup orientation="landscape"/>
  <drawing r:id="rId1"/>
</worksheet>
</file>